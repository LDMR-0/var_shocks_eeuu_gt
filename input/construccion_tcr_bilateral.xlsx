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C81B31FD-6DF2-4069-A20C-19C6063116EA}" xr6:coauthVersionLast="47" xr6:coauthVersionMax="47" xr10:uidLastSave="{00000000-0000-0000-0000-000000000000}"/>
  <bookViews>
    <workbookView xWindow="28680" yWindow="-120" windowWidth="29040" windowHeight="15720" xr2:uid="{DFD6415A-6912-405F-8E23-DA17C1C2230D}"/>
  </bookViews>
  <sheets>
    <sheet name="Hoja 1" sheetId="2" r:id="rId1"/>
    <sheet name="Hoja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2" i="1"/>
  <c r="D191" i="1"/>
</calcChain>
</file>

<file path=xl/sharedStrings.xml><?xml version="1.0" encoding="utf-8"?>
<sst xmlns="http://schemas.openxmlformats.org/spreadsheetml/2006/main" count="13" uniqueCount="12">
  <si>
    <t>Tipo Cambio Nominal</t>
  </si>
  <si>
    <t>IPC_gt</t>
  </si>
  <si>
    <t>IPC_eeuu</t>
  </si>
  <si>
    <t>TCR_bilateral</t>
  </si>
  <si>
    <t>fecha</t>
  </si>
  <si>
    <t>https://banguat.gob.gt/page/de-venta-promedio-del-mes</t>
  </si>
  <si>
    <t>- Quetzales por US dólares -</t>
  </si>
  <si>
    <t>TIPO DE CAMBIO VENTA  PROMEDIO PONDERADO DEL MERCADO INSTITUCIONAL DE DIVISAS 1/</t>
  </si>
  <si>
    <t>TC_nominal</t>
  </si>
  <si>
    <t>CPU_all_items</t>
  </si>
  <si>
    <t>https://fred.stlouisfed.org/series/CPIAUCSL</t>
  </si>
  <si>
    <t>https://banguat.gob.gt/page/indice-intermensual-interanual-y-acumulada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</si>
</sst>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right"/>
    </xf>
    <xf numFmtId="168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ed.stlouisfed.org/series/CPIAUCS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7BC4-D291-4094-81FB-10A43BA522A5}">
  <dimension ref="A2:B7"/>
  <sheetViews>
    <sheetView tabSelected="1" workbookViewId="0">
      <selection activeCell="B7" sqref="B7"/>
    </sheetView>
  </sheetViews>
  <sheetFormatPr baseColWidth="10" defaultRowHeight="15" x14ac:dyDescent="0.25"/>
  <sheetData>
    <row r="2" spans="1:2" x14ac:dyDescent="0.25">
      <c r="A2" t="s">
        <v>7</v>
      </c>
    </row>
    <row r="3" spans="1:2" x14ac:dyDescent="0.25">
      <c r="A3" t="s">
        <v>6</v>
      </c>
    </row>
    <row r="5" spans="1:2" x14ac:dyDescent="0.25">
      <c r="A5" t="s">
        <v>8</v>
      </c>
      <c r="B5" t="s">
        <v>5</v>
      </c>
    </row>
    <row r="6" spans="1:2" x14ac:dyDescent="0.25">
      <c r="A6" t="s">
        <v>9</v>
      </c>
      <c r="B6" s="4" t="s">
        <v>10</v>
      </c>
    </row>
    <row r="7" spans="1:2" x14ac:dyDescent="0.25">
      <c r="A7" t="s">
        <v>1</v>
      </c>
      <c r="B7" s="5" t="s">
        <v>11</v>
      </c>
    </row>
  </sheetData>
  <hyperlinks>
    <hyperlink ref="B6" r:id="rId1" xr:uid="{EECF09C4-71AF-4189-A3C6-52E593EC7A3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0FC9-76D6-433E-81F5-8FA220512668}">
  <dimension ref="A1:E195"/>
  <sheetViews>
    <sheetView workbookViewId="0">
      <selection activeCell="E2" sqref="E2:E195"/>
    </sheetView>
  </sheetViews>
  <sheetFormatPr baseColWidth="10" defaultRowHeight="15" x14ac:dyDescent="0.25"/>
  <cols>
    <col min="2" max="2" width="20.42578125" bestFit="1" customWidth="1"/>
    <col min="4" max="4" width="9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40179</v>
      </c>
      <c r="B2">
        <v>8.3795099999999998</v>
      </c>
      <c r="C2" s="2">
        <v>54.483153704812025</v>
      </c>
      <c r="D2" s="3">
        <v>217.488</v>
      </c>
      <c r="E2">
        <f>B2*D2/C2</f>
        <v>33.449658232963841</v>
      </c>
    </row>
    <row r="3" spans="1:5" x14ac:dyDescent="0.25">
      <c r="A3" s="1">
        <v>40210</v>
      </c>
      <c r="B3">
        <v>8.1623099999999997</v>
      </c>
      <c r="C3" s="2">
        <v>54.719011513057957</v>
      </c>
      <c r="D3" s="3">
        <v>217.28100000000001</v>
      </c>
      <c r="E3">
        <f t="shared" ref="E3:E66" si="0">B3*D3/C3</f>
        <v>32.411310622575385</v>
      </c>
    </row>
    <row r="4" spans="1:5" x14ac:dyDescent="0.25">
      <c r="A4" s="1">
        <v>40238</v>
      </c>
      <c r="B4">
        <v>8.0364000000000004</v>
      </c>
      <c r="C4" s="2">
        <v>55.352879372718917</v>
      </c>
      <c r="D4" s="3">
        <v>217.35300000000001</v>
      </c>
      <c r="E4">
        <f t="shared" si="0"/>
        <v>31.556364709382976</v>
      </c>
    </row>
    <row r="5" spans="1:5" x14ac:dyDescent="0.25">
      <c r="A5" s="1">
        <v>40269</v>
      </c>
      <c r="B5">
        <v>8.0174299999999992</v>
      </c>
      <c r="C5" s="2">
        <v>55.296863143260509</v>
      </c>
      <c r="D5" s="3">
        <v>217.40299999999999</v>
      </c>
      <c r="E5">
        <f t="shared" si="0"/>
        <v>31.521016477449773</v>
      </c>
    </row>
    <row r="6" spans="1:5" x14ac:dyDescent="0.25">
      <c r="A6" s="1">
        <v>40299</v>
      </c>
      <c r="B6">
        <v>8.0105500000000003</v>
      </c>
      <c r="C6" s="2">
        <v>55.240846913802102</v>
      </c>
      <c r="D6" s="3">
        <v>217.29</v>
      </c>
      <c r="E6">
        <f t="shared" si="0"/>
        <v>31.509517082821958</v>
      </c>
    </row>
    <row r="7" spans="1:5" x14ac:dyDescent="0.25">
      <c r="A7" s="1">
        <v>40330</v>
      </c>
      <c r="B7">
        <v>8.0211500000000004</v>
      </c>
      <c r="C7" s="2">
        <v>55.517979838491065</v>
      </c>
      <c r="D7" s="3">
        <v>217.19900000000001</v>
      </c>
      <c r="E7">
        <f t="shared" si="0"/>
        <v>31.38056831171167</v>
      </c>
    </row>
    <row r="8" spans="1:5" x14ac:dyDescent="0.25">
      <c r="A8" s="1">
        <v>40360</v>
      </c>
      <c r="B8">
        <v>8.01694</v>
      </c>
      <c r="C8" s="2">
        <v>55.727303643309348</v>
      </c>
      <c r="D8" s="3">
        <v>217.60499999999999</v>
      </c>
      <c r="E8">
        <f t="shared" si="0"/>
        <v>31.30469473036219</v>
      </c>
    </row>
    <row r="9" spans="1:5" x14ac:dyDescent="0.25">
      <c r="A9" s="1">
        <v>40391</v>
      </c>
      <c r="B9">
        <v>8.0290400000000002</v>
      </c>
      <c r="C9" s="2">
        <v>55.750889424133931</v>
      </c>
      <c r="D9" s="3">
        <v>217.923</v>
      </c>
      <c r="E9">
        <f t="shared" si="0"/>
        <v>31.384476588503883</v>
      </c>
    </row>
    <row r="10" spans="1:5" x14ac:dyDescent="0.25">
      <c r="A10" s="1">
        <v>40422</v>
      </c>
      <c r="B10">
        <v>8.0902999999999992</v>
      </c>
      <c r="C10" s="2">
        <v>55.91304166730302</v>
      </c>
      <c r="D10" s="3">
        <v>218.27500000000001</v>
      </c>
      <c r="E10">
        <f t="shared" si="0"/>
        <v>31.583154481339434</v>
      </c>
    </row>
    <row r="11" spans="1:5" x14ac:dyDescent="0.25">
      <c r="A11" s="1">
        <v>40452</v>
      </c>
      <c r="B11">
        <v>8.0716099999999997</v>
      </c>
      <c r="C11" s="2">
        <v>56.20786392761044</v>
      </c>
      <c r="D11" s="3">
        <v>219.035</v>
      </c>
      <c r="E11">
        <f t="shared" si="0"/>
        <v>31.454052383612101</v>
      </c>
    </row>
    <row r="12" spans="1:5" x14ac:dyDescent="0.25">
      <c r="A12" s="1">
        <v>40483</v>
      </c>
      <c r="B12">
        <v>8.0179200000000002</v>
      </c>
      <c r="C12" s="2">
        <v>56.641252650262366</v>
      </c>
      <c r="D12" s="3">
        <v>219.59</v>
      </c>
      <c r="E12">
        <f t="shared" si="0"/>
        <v>31.084324064500443</v>
      </c>
    </row>
    <row r="13" spans="1:5" x14ac:dyDescent="0.25">
      <c r="A13" s="1">
        <v>40513</v>
      </c>
      <c r="B13">
        <v>7.9880300000000002</v>
      </c>
      <c r="C13" s="2">
        <v>56.688424211911567</v>
      </c>
      <c r="D13" s="3">
        <v>220.47200000000001</v>
      </c>
      <c r="E13">
        <f t="shared" si="0"/>
        <v>31.066958989308862</v>
      </c>
    </row>
    <row r="14" spans="1:5" x14ac:dyDescent="0.25">
      <c r="A14" s="1">
        <v>40544</v>
      </c>
      <c r="B14">
        <v>7.9610799999999999</v>
      </c>
      <c r="C14" s="2">
        <v>57.119256235922101</v>
      </c>
      <c r="D14" s="3">
        <v>221.18700000000001</v>
      </c>
      <c r="E14">
        <f t="shared" si="0"/>
        <v>30.828262095832123</v>
      </c>
    </row>
    <row r="15" spans="1:5" x14ac:dyDescent="0.25">
      <c r="A15" s="1">
        <v>40575</v>
      </c>
      <c r="B15">
        <v>7.8209600000000004</v>
      </c>
      <c r="C15" s="2">
        <v>57.555757102353816</v>
      </c>
      <c r="D15" s="3">
        <v>221.898</v>
      </c>
      <c r="E15">
        <f t="shared" si="0"/>
        <v>30.152594100947486</v>
      </c>
    </row>
    <row r="16" spans="1:5" x14ac:dyDescent="0.25">
      <c r="A16" s="1">
        <v>40603</v>
      </c>
      <c r="B16">
        <v>7.7171700000000003</v>
      </c>
      <c r="C16" s="2">
        <v>58.054615235418638</v>
      </c>
      <c r="D16" s="3">
        <v>223.04599999999999</v>
      </c>
      <c r="E16">
        <f t="shared" si="0"/>
        <v>29.649389507448824</v>
      </c>
    </row>
    <row r="17" spans="1:5" x14ac:dyDescent="0.25">
      <c r="A17" s="1">
        <v>40634</v>
      </c>
      <c r="B17">
        <v>7.6318200000000003</v>
      </c>
      <c r="C17" s="2">
        <v>58.485447259429165</v>
      </c>
      <c r="D17" s="3">
        <v>224.09299999999999</v>
      </c>
      <c r="E17">
        <f t="shared" si="0"/>
        <v>29.242102427185788</v>
      </c>
    </row>
    <row r="18" spans="1:5" x14ac:dyDescent="0.25">
      <c r="A18" s="1">
        <v>40664</v>
      </c>
      <c r="B18">
        <v>7.6735300000000004</v>
      </c>
      <c r="C18" s="2">
        <v>58.774558222909917</v>
      </c>
      <c r="D18" s="3">
        <v>224.80600000000001</v>
      </c>
      <c r="E18">
        <f t="shared" si="0"/>
        <v>29.35037943862563</v>
      </c>
    </row>
    <row r="19" spans="1:5" x14ac:dyDescent="0.25">
      <c r="A19" s="1">
        <v>40695</v>
      </c>
      <c r="B19">
        <v>7.8025799999999998</v>
      </c>
      <c r="C19" s="2">
        <v>59.086344556075431</v>
      </c>
      <c r="D19" s="3">
        <v>224.80600000000001</v>
      </c>
      <c r="E19">
        <f t="shared" si="0"/>
        <v>29.686500538467339</v>
      </c>
    </row>
    <row r="20" spans="1:5" x14ac:dyDescent="0.25">
      <c r="A20" s="1">
        <v>40725</v>
      </c>
      <c r="B20">
        <v>7.7723500000000003</v>
      </c>
      <c r="C20" s="2">
        <v>59.647559955773353</v>
      </c>
      <c r="D20" s="3">
        <v>225.39500000000001</v>
      </c>
      <c r="E20">
        <f t="shared" si="0"/>
        <v>29.369999871728815</v>
      </c>
    </row>
    <row r="21" spans="1:5" x14ac:dyDescent="0.25">
      <c r="A21" s="1">
        <v>40756</v>
      </c>
      <c r="B21">
        <v>7.8407499999999999</v>
      </c>
      <c r="C21" s="2">
        <v>60.004697028308392</v>
      </c>
      <c r="D21" s="3">
        <v>226.10599999999999</v>
      </c>
      <c r="E21">
        <f t="shared" si="0"/>
        <v>29.545030760902396</v>
      </c>
    </row>
    <row r="22" spans="1:5" x14ac:dyDescent="0.25">
      <c r="A22" s="1">
        <v>40787</v>
      </c>
      <c r="B22">
        <v>7.8644100000000003</v>
      </c>
      <c r="C22" s="2">
        <v>59.965015131360062</v>
      </c>
      <c r="D22" s="3">
        <v>226.59700000000001</v>
      </c>
      <c r="E22">
        <f t="shared" si="0"/>
        <v>29.718189995720287</v>
      </c>
    </row>
    <row r="23" spans="1:5" x14ac:dyDescent="0.25">
      <c r="A23" s="1">
        <v>40817</v>
      </c>
      <c r="B23">
        <v>7.85799</v>
      </c>
      <c r="C23" s="2">
        <v>59.942339761675292</v>
      </c>
      <c r="D23" s="3">
        <v>226.75</v>
      </c>
      <c r="E23">
        <f t="shared" si="0"/>
        <v>29.725219929423083</v>
      </c>
    </row>
    <row r="24" spans="1:5" x14ac:dyDescent="0.25">
      <c r="A24" s="1">
        <v>40848</v>
      </c>
      <c r="B24">
        <v>7.8279500000000004</v>
      </c>
      <c r="C24" s="2">
        <v>60.072723137362694</v>
      </c>
      <c r="D24" s="3">
        <v>227.16900000000001</v>
      </c>
      <c r="E24">
        <f t="shared" si="0"/>
        <v>29.601913825078341</v>
      </c>
    </row>
    <row r="25" spans="1:5" x14ac:dyDescent="0.25">
      <c r="A25" s="1">
        <v>40878</v>
      </c>
      <c r="B25">
        <v>7.8122100000000003</v>
      </c>
      <c r="C25" s="2">
        <v>60.203106513050088</v>
      </c>
      <c r="D25" s="3">
        <v>227.22300000000001</v>
      </c>
      <c r="E25">
        <f t="shared" si="0"/>
        <v>29.485418538081799</v>
      </c>
    </row>
    <row r="26" spans="1:5" x14ac:dyDescent="0.25">
      <c r="A26" s="1">
        <v>40909</v>
      </c>
      <c r="B26">
        <v>7.8185900000000004</v>
      </c>
      <c r="C26" s="2">
        <v>60.259794937262001</v>
      </c>
      <c r="D26" s="3">
        <v>227.84200000000001</v>
      </c>
      <c r="E26">
        <f t="shared" si="0"/>
        <v>29.56205185621133</v>
      </c>
    </row>
    <row r="27" spans="1:5" x14ac:dyDescent="0.25">
      <c r="A27" s="1">
        <v>40940</v>
      </c>
      <c r="B27">
        <v>7.7937500000000002</v>
      </c>
      <c r="C27" s="2">
        <v>60.560243585585127</v>
      </c>
      <c r="D27" s="3">
        <v>228.32900000000001</v>
      </c>
      <c r="E27">
        <f t="shared" si="0"/>
        <v>29.384610074018518</v>
      </c>
    </row>
    <row r="28" spans="1:5" x14ac:dyDescent="0.25">
      <c r="A28" s="1">
        <v>40969</v>
      </c>
      <c r="B28">
        <v>7.7357699999999996</v>
      </c>
      <c r="C28" s="2">
        <v>60.758653070326822</v>
      </c>
      <c r="D28" s="3">
        <v>228.80699999999999</v>
      </c>
      <c r="E28">
        <f t="shared" si="0"/>
        <v>29.131625487834057</v>
      </c>
    </row>
    <row r="29" spans="1:5" x14ac:dyDescent="0.25">
      <c r="A29" s="1">
        <v>41000</v>
      </c>
      <c r="B29">
        <v>7.7610599999999996</v>
      </c>
      <c r="C29" s="2">
        <v>60.985406767174467</v>
      </c>
      <c r="D29" s="3">
        <v>229.18700000000001</v>
      </c>
      <c r="E29">
        <f t="shared" si="0"/>
        <v>29.166552336212465</v>
      </c>
    </row>
    <row r="30" spans="1:5" x14ac:dyDescent="0.25">
      <c r="A30" s="1">
        <v>41030</v>
      </c>
      <c r="B30">
        <v>7.7949299999999999</v>
      </c>
      <c r="C30" s="2">
        <v>61.064770561071143</v>
      </c>
      <c r="D30" s="3">
        <v>228.71299999999999</v>
      </c>
      <c r="E30">
        <f t="shared" si="0"/>
        <v>29.195259536871788</v>
      </c>
    </row>
    <row r="31" spans="1:5" x14ac:dyDescent="0.25">
      <c r="A31" s="1">
        <v>41061</v>
      </c>
      <c r="B31">
        <v>7.859</v>
      </c>
      <c r="C31" s="2">
        <v>61.138465512546624</v>
      </c>
      <c r="D31" s="3">
        <v>228.524</v>
      </c>
      <c r="E31">
        <f t="shared" si="0"/>
        <v>29.375452932024231</v>
      </c>
    </row>
    <row r="32" spans="1:5" x14ac:dyDescent="0.25">
      <c r="A32" s="1">
        <v>41091</v>
      </c>
      <c r="B32">
        <v>7.8340199999999998</v>
      </c>
      <c r="C32" s="2">
        <v>61.353881524551895</v>
      </c>
      <c r="D32" s="3">
        <v>228.59</v>
      </c>
      <c r="E32">
        <f t="shared" si="0"/>
        <v>29.187699087683423</v>
      </c>
    </row>
    <row r="33" spans="1:5" x14ac:dyDescent="0.25">
      <c r="A33" s="1">
        <v>41122</v>
      </c>
      <c r="B33">
        <v>7.8939000000000004</v>
      </c>
      <c r="C33" s="2">
        <v>61.631654803190258</v>
      </c>
      <c r="D33" s="3">
        <v>229.91800000000001</v>
      </c>
      <c r="E33">
        <f t="shared" si="0"/>
        <v>29.448336345920282</v>
      </c>
    </row>
    <row r="34" spans="1:5" x14ac:dyDescent="0.25">
      <c r="A34" s="1">
        <v>41153</v>
      </c>
      <c r="B34">
        <v>7.9821400000000002</v>
      </c>
      <c r="C34" s="2">
        <v>61.932103451513392</v>
      </c>
      <c r="D34" s="3">
        <v>231.01499999999999</v>
      </c>
      <c r="E34">
        <f t="shared" si="0"/>
        <v>29.774446035789207</v>
      </c>
    </row>
    <row r="35" spans="1:5" x14ac:dyDescent="0.25">
      <c r="A35" s="1">
        <v>41183</v>
      </c>
      <c r="B35">
        <v>7.8839399999999999</v>
      </c>
      <c r="C35" s="2">
        <v>61.949109978776967</v>
      </c>
      <c r="D35" s="3">
        <v>231.63800000000001</v>
      </c>
      <c r="E35">
        <f t="shared" si="0"/>
        <v>29.479359660625335</v>
      </c>
    </row>
    <row r="36" spans="1:5" x14ac:dyDescent="0.25">
      <c r="A36" s="1">
        <v>41214</v>
      </c>
      <c r="B36">
        <v>7.8828899999999997</v>
      </c>
      <c r="C36" s="2">
        <v>61.943441136355773</v>
      </c>
      <c r="D36" s="3">
        <v>231.249</v>
      </c>
      <c r="E36">
        <f t="shared" si="0"/>
        <v>29.428627085751287</v>
      </c>
    </row>
    <row r="37" spans="1:5" x14ac:dyDescent="0.25">
      <c r="A37" s="1">
        <v>41244</v>
      </c>
      <c r="B37">
        <v>7.9053699999999996</v>
      </c>
      <c r="C37" s="2">
        <v>62.27790283920605</v>
      </c>
      <c r="D37" s="3">
        <v>231.221</v>
      </c>
      <c r="E37">
        <f t="shared" si="0"/>
        <v>29.350499510065113</v>
      </c>
    </row>
    <row r="38" spans="1:5" x14ac:dyDescent="0.25">
      <c r="A38" s="1">
        <v>41275</v>
      </c>
      <c r="B38">
        <v>7.8885699999999996</v>
      </c>
      <c r="C38" s="2">
        <v>62.584020329950377</v>
      </c>
      <c r="D38" s="3">
        <v>231.679</v>
      </c>
      <c r="E38">
        <f t="shared" si="0"/>
        <v>29.202598353295166</v>
      </c>
    </row>
    <row r="39" spans="1:5" x14ac:dyDescent="0.25">
      <c r="A39" s="1">
        <v>41306</v>
      </c>
      <c r="B39">
        <v>7.8390300000000002</v>
      </c>
      <c r="C39" s="2">
        <v>63.094216147857573</v>
      </c>
      <c r="D39" s="3">
        <v>232.93700000000001</v>
      </c>
      <c r="E39">
        <f t="shared" si="0"/>
        <v>28.940848188538816</v>
      </c>
    </row>
    <row r="40" spans="1:5" x14ac:dyDescent="0.25">
      <c r="A40" s="1">
        <v>41334</v>
      </c>
      <c r="B40">
        <v>7.8190600000000003</v>
      </c>
      <c r="C40" s="2">
        <v>63.394664796180706</v>
      </c>
      <c r="D40" s="3">
        <v>232.28200000000001</v>
      </c>
      <c r="E40">
        <f t="shared" si="0"/>
        <v>28.649522806995282</v>
      </c>
    </row>
    <row r="41" spans="1:5" x14ac:dyDescent="0.25">
      <c r="A41" s="1">
        <v>41365</v>
      </c>
      <c r="B41">
        <v>7.8067599999999997</v>
      </c>
      <c r="C41" s="2">
        <v>63.502372802183338</v>
      </c>
      <c r="D41" s="3">
        <v>231.797</v>
      </c>
      <c r="E41">
        <f t="shared" si="0"/>
        <v>28.496313883530707</v>
      </c>
    </row>
    <row r="42" spans="1:5" x14ac:dyDescent="0.25">
      <c r="A42" s="1">
        <v>41395</v>
      </c>
      <c r="B42">
        <v>7.7965799999999996</v>
      </c>
      <c r="C42" s="2">
        <v>63.67243807481907</v>
      </c>
      <c r="D42" s="3">
        <v>231.893</v>
      </c>
      <c r="E42">
        <f t="shared" si="0"/>
        <v>28.394897079573429</v>
      </c>
    </row>
    <row r="43" spans="1:5" x14ac:dyDescent="0.25">
      <c r="A43" s="1">
        <v>41426</v>
      </c>
      <c r="B43">
        <v>7.8282699999999998</v>
      </c>
      <c r="C43" s="2">
        <v>64.069257044302461</v>
      </c>
      <c r="D43" s="3">
        <v>232.44499999999999</v>
      </c>
      <c r="E43">
        <f t="shared" si="0"/>
        <v>28.401175604264584</v>
      </c>
    </row>
    <row r="44" spans="1:5" x14ac:dyDescent="0.25">
      <c r="A44" s="1">
        <v>41456</v>
      </c>
      <c r="B44">
        <v>7.8348500000000003</v>
      </c>
      <c r="C44" s="2">
        <v>64.261997686622962</v>
      </c>
      <c r="D44" s="3">
        <v>232.9</v>
      </c>
      <c r="E44">
        <f t="shared" si="0"/>
        <v>28.395266731333574</v>
      </c>
    </row>
    <row r="45" spans="1:5" x14ac:dyDescent="0.25">
      <c r="A45" s="1">
        <v>41487</v>
      </c>
      <c r="B45">
        <v>7.9081099999999998</v>
      </c>
      <c r="C45" s="2">
        <v>64.352699165362012</v>
      </c>
      <c r="D45" s="3">
        <v>233.45599999999999</v>
      </c>
      <c r="E45">
        <f t="shared" si="0"/>
        <v>28.688706955647309</v>
      </c>
    </row>
    <row r="46" spans="1:5" x14ac:dyDescent="0.25">
      <c r="A46" s="1">
        <v>41518</v>
      </c>
      <c r="B46">
        <v>7.9517699999999998</v>
      </c>
      <c r="C46" s="2">
        <v>64.539770965261326</v>
      </c>
      <c r="D46" s="3">
        <v>233.54400000000001</v>
      </c>
      <c r="E46">
        <f t="shared" si="0"/>
        <v>28.77432233032841</v>
      </c>
    </row>
    <row r="47" spans="1:5" x14ac:dyDescent="0.25">
      <c r="A47" s="1">
        <v>41548</v>
      </c>
      <c r="B47">
        <v>7.9690700000000003</v>
      </c>
      <c r="C47" s="2">
        <v>64.522764437997751</v>
      </c>
      <c r="D47" s="3">
        <v>233.66900000000001</v>
      </c>
      <c r="E47">
        <f t="shared" si="0"/>
        <v>28.859963364083431</v>
      </c>
    </row>
    <row r="48" spans="1:5" x14ac:dyDescent="0.25">
      <c r="A48" s="1">
        <v>41579</v>
      </c>
      <c r="B48">
        <v>7.9073500000000001</v>
      </c>
      <c r="C48" s="2">
        <v>64.811875401478503</v>
      </c>
      <c r="D48" s="3">
        <v>234.1</v>
      </c>
      <c r="E48">
        <f t="shared" si="0"/>
        <v>28.561287935787337</v>
      </c>
    </row>
    <row r="49" spans="1:5" x14ac:dyDescent="0.25">
      <c r="A49" s="1">
        <v>41609</v>
      </c>
      <c r="B49">
        <v>7.8719900000000003</v>
      </c>
      <c r="C49" s="2">
        <v>65.010284886220191</v>
      </c>
      <c r="D49" s="3">
        <v>234.71899999999999</v>
      </c>
      <c r="E49">
        <f t="shared" si="0"/>
        <v>28.421743175619373</v>
      </c>
    </row>
    <row r="50" spans="1:5" x14ac:dyDescent="0.25">
      <c r="A50" s="1">
        <v>41640</v>
      </c>
      <c r="B50">
        <v>7.85419</v>
      </c>
      <c r="C50" s="2">
        <v>65.174681316434729</v>
      </c>
      <c r="D50" s="3">
        <v>235.28800000000001</v>
      </c>
      <c r="E50">
        <f t="shared" si="0"/>
        <v>28.354517726717312</v>
      </c>
    </row>
    <row r="51" spans="1:5" x14ac:dyDescent="0.25">
      <c r="A51" s="1">
        <v>41671</v>
      </c>
      <c r="B51">
        <v>7.7674399999999997</v>
      </c>
      <c r="C51" s="2">
        <v>65.30506469212213</v>
      </c>
      <c r="D51" s="3">
        <v>235.547</v>
      </c>
      <c r="E51">
        <f t="shared" si="0"/>
        <v>28.016160741981587</v>
      </c>
    </row>
    <row r="52" spans="1:5" x14ac:dyDescent="0.25">
      <c r="A52" s="1">
        <v>41699</v>
      </c>
      <c r="B52">
        <v>7.7399300000000002</v>
      </c>
      <c r="C52" s="2">
        <v>65.452454595073092</v>
      </c>
      <c r="D52" s="3">
        <v>236.02799999999999</v>
      </c>
      <c r="E52">
        <f t="shared" si="0"/>
        <v>27.910950159805232</v>
      </c>
    </row>
    <row r="53" spans="1:5" x14ac:dyDescent="0.25">
      <c r="A53" s="1">
        <v>41730</v>
      </c>
      <c r="B53">
        <v>7.7590700000000004</v>
      </c>
      <c r="C53" s="2">
        <v>65.577169128339307</v>
      </c>
      <c r="D53" s="3">
        <v>236.46799999999999</v>
      </c>
      <c r="E53">
        <f t="shared" si="0"/>
        <v>27.978819292568389</v>
      </c>
    </row>
    <row r="54" spans="1:5" x14ac:dyDescent="0.25">
      <c r="A54" s="1">
        <v>41760</v>
      </c>
      <c r="B54">
        <v>7.7488999999999999</v>
      </c>
      <c r="C54" s="2">
        <v>65.724559031290269</v>
      </c>
      <c r="D54" s="3">
        <v>236.91800000000001</v>
      </c>
      <c r="E54">
        <f t="shared" si="0"/>
        <v>27.932540244598421</v>
      </c>
    </row>
    <row r="55" spans="1:5" x14ac:dyDescent="0.25">
      <c r="A55" s="1">
        <v>41791</v>
      </c>
      <c r="B55">
        <v>7.8168899999999999</v>
      </c>
      <c r="C55" s="2">
        <v>66.076027261404121</v>
      </c>
      <c r="D55" s="3">
        <v>237.23099999999999</v>
      </c>
      <c r="E55">
        <f t="shared" si="0"/>
        <v>28.064771876398574</v>
      </c>
    </row>
    <row r="56" spans="1:5" x14ac:dyDescent="0.25">
      <c r="A56" s="1">
        <v>41821</v>
      </c>
      <c r="B56">
        <v>7.7868399999999998</v>
      </c>
      <c r="C56" s="2">
        <v>66.455839703623937</v>
      </c>
      <c r="D56" s="3">
        <v>237.49799999999999</v>
      </c>
      <c r="E56">
        <f t="shared" si="0"/>
        <v>27.828388514352813</v>
      </c>
    </row>
    <row r="57" spans="1:5" x14ac:dyDescent="0.25">
      <c r="A57" s="1">
        <v>41852</v>
      </c>
      <c r="B57">
        <v>7.8131000000000004</v>
      </c>
      <c r="C57" s="2">
        <v>66.733612982262301</v>
      </c>
      <c r="D57" s="3">
        <v>237.46</v>
      </c>
      <c r="E57">
        <f t="shared" si="0"/>
        <v>27.801562707134348</v>
      </c>
    </row>
    <row r="58" spans="1:5" x14ac:dyDescent="0.25">
      <c r="A58" s="1">
        <v>41883</v>
      </c>
      <c r="B58">
        <v>7.7283499999999998</v>
      </c>
      <c r="C58" s="2">
        <v>66.767626036789451</v>
      </c>
      <c r="D58" s="3">
        <v>237.477</v>
      </c>
      <c r="E58">
        <f t="shared" si="0"/>
        <v>27.487953097789237</v>
      </c>
    </row>
    <row r="59" spans="1:5" x14ac:dyDescent="0.25">
      <c r="A59" s="1">
        <v>41913</v>
      </c>
      <c r="B59">
        <v>7.6507100000000001</v>
      </c>
      <c r="C59" s="2">
        <v>66.869665200370889</v>
      </c>
      <c r="D59" s="3">
        <v>237.43</v>
      </c>
      <c r="E59">
        <f t="shared" si="0"/>
        <v>27.164904592492633</v>
      </c>
    </row>
    <row r="60" spans="1:5" x14ac:dyDescent="0.25">
      <c r="A60" s="1">
        <v>41944</v>
      </c>
      <c r="B60">
        <v>7.6312800000000003</v>
      </c>
      <c r="C60" s="2">
        <v>67.000048576058276</v>
      </c>
      <c r="D60" s="3">
        <v>236.983</v>
      </c>
      <c r="E60">
        <f t="shared" si="0"/>
        <v>26.992273388981417</v>
      </c>
    </row>
    <row r="61" spans="1:5" x14ac:dyDescent="0.25">
      <c r="A61" s="1">
        <v>41974</v>
      </c>
      <c r="B61">
        <v>7.6319400000000002</v>
      </c>
      <c r="C61" s="2">
        <v>66.926353624582802</v>
      </c>
      <c r="D61" s="3">
        <v>236.25200000000001</v>
      </c>
      <c r="E61">
        <f t="shared" si="0"/>
        <v>26.94097304320664</v>
      </c>
    </row>
    <row r="62" spans="1:5" x14ac:dyDescent="0.25">
      <c r="A62" s="1">
        <v>42005</v>
      </c>
      <c r="B62">
        <v>7.6547900000000002</v>
      </c>
      <c r="C62" s="2">
        <v>66.688262242892776</v>
      </c>
      <c r="D62" s="3">
        <v>234.74700000000001</v>
      </c>
      <c r="E62">
        <f t="shared" si="0"/>
        <v>26.945356314506558</v>
      </c>
    </row>
    <row r="63" spans="1:5" x14ac:dyDescent="0.25">
      <c r="A63" s="1">
        <v>42036</v>
      </c>
      <c r="B63">
        <v>7.6553599999999999</v>
      </c>
      <c r="C63" s="2">
        <v>66.898009412476853</v>
      </c>
      <c r="D63" s="3">
        <v>235.34200000000001</v>
      </c>
      <c r="E63">
        <f t="shared" si="0"/>
        <v>26.930961757196716</v>
      </c>
    </row>
    <row r="64" spans="1:5" x14ac:dyDescent="0.25">
      <c r="A64" s="1">
        <v>42064</v>
      </c>
      <c r="B64">
        <v>7.6411899999999999</v>
      </c>
      <c r="C64" s="2">
        <v>67.039730473006628</v>
      </c>
      <c r="D64" s="3">
        <v>235.976</v>
      </c>
      <c r="E64">
        <f t="shared" si="0"/>
        <v>26.896549832729839</v>
      </c>
    </row>
    <row r="65" spans="1:5" x14ac:dyDescent="0.25">
      <c r="A65" s="1">
        <v>42095</v>
      </c>
      <c r="B65">
        <v>7.71896</v>
      </c>
      <c r="C65" s="2">
        <v>67.266484169854266</v>
      </c>
      <c r="D65" s="3">
        <v>236.22200000000001</v>
      </c>
      <c r="E65">
        <f t="shared" si="0"/>
        <v>27.106934331750885</v>
      </c>
    </row>
    <row r="66" spans="1:5" x14ac:dyDescent="0.25">
      <c r="A66" s="1">
        <v>42125</v>
      </c>
      <c r="B66">
        <v>7.6952699999999998</v>
      </c>
      <c r="C66" s="2">
        <v>67.402536387962854</v>
      </c>
      <c r="D66" s="3">
        <v>237.001</v>
      </c>
      <c r="E66">
        <f t="shared" si="0"/>
        <v>27.058131385033494</v>
      </c>
    </row>
    <row r="67" spans="1:5" x14ac:dyDescent="0.25">
      <c r="A67" s="1">
        <v>42156</v>
      </c>
      <c r="B67">
        <v>7.6622500000000002</v>
      </c>
      <c r="C67" s="2">
        <v>67.651965454495269</v>
      </c>
      <c r="D67" s="3">
        <v>237.65700000000001</v>
      </c>
      <c r="E67">
        <f t="shared" ref="E67:E130" si="1">B67*D67/C67</f>
        <v>26.916991044034791</v>
      </c>
    </row>
    <row r="68" spans="1:5" x14ac:dyDescent="0.25">
      <c r="A68" s="1">
        <v>42186</v>
      </c>
      <c r="B68">
        <v>7.6636100000000003</v>
      </c>
      <c r="C68" s="2">
        <v>67.997764842187934</v>
      </c>
      <c r="D68" s="3">
        <v>238.03399999999999</v>
      </c>
      <c r="E68">
        <f t="shared" si="1"/>
        <v>26.827348619085924</v>
      </c>
    </row>
    <row r="69" spans="1:5" x14ac:dyDescent="0.25">
      <c r="A69" s="1">
        <v>42217</v>
      </c>
      <c r="B69">
        <v>7.6632300000000004</v>
      </c>
      <c r="C69" s="2">
        <v>68.043115581557458</v>
      </c>
      <c r="D69" s="3">
        <v>238.03299999999999</v>
      </c>
      <c r="E69">
        <f t="shared" si="1"/>
        <v>26.808026219840059</v>
      </c>
    </row>
    <row r="70" spans="1:5" x14ac:dyDescent="0.25">
      <c r="A70" s="1">
        <v>42248</v>
      </c>
      <c r="B70">
        <v>7.7026199999999996</v>
      </c>
      <c r="C70" s="2">
        <v>68.020440211872696</v>
      </c>
      <c r="D70" s="3">
        <v>237.49799999999999</v>
      </c>
      <c r="E70">
        <f t="shared" si="1"/>
        <v>26.894222369950096</v>
      </c>
    </row>
    <row r="71" spans="1:5" x14ac:dyDescent="0.25">
      <c r="A71" s="1">
        <v>42278</v>
      </c>
      <c r="B71">
        <v>7.6938800000000001</v>
      </c>
      <c r="C71" s="2">
        <v>68.36057075714416</v>
      </c>
      <c r="D71" s="3">
        <v>237.733</v>
      </c>
      <c r="E71">
        <f t="shared" si="1"/>
        <v>26.756493601230609</v>
      </c>
    </row>
    <row r="72" spans="1:5" x14ac:dyDescent="0.25">
      <c r="A72" s="1">
        <v>42309</v>
      </c>
      <c r="B72">
        <v>7.6566999999999998</v>
      </c>
      <c r="C72" s="2">
        <v>68.683694775152063</v>
      </c>
      <c r="D72" s="3">
        <v>238.017</v>
      </c>
      <c r="E72">
        <f t="shared" si="1"/>
        <v>26.533586608379505</v>
      </c>
    </row>
    <row r="73" spans="1:5" x14ac:dyDescent="0.25">
      <c r="A73" s="1">
        <v>42339</v>
      </c>
      <c r="B73">
        <v>7.62948</v>
      </c>
      <c r="C73" s="2">
        <v>68.978474581054002</v>
      </c>
      <c r="D73" s="3">
        <v>237.761</v>
      </c>
      <c r="E73">
        <f t="shared" si="1"/>
        <v>26.29795461986399</v>
      </c>
    </row>
    <row r="74" spans="1:5" x14ac:dyDescent="0.25">
      <c r="A74" s="1">
        <v>42370</v>
      </c>
      <c r="B74">
        <v>7.6660500000000003</v>
      </c>
      <c r="C74" s="2">
        <v>69.607716089806217</v>
      </c>
      <c r="D74" s="3">
        <v>237.65199999999999</v>
      </c>
      <c r="E74">
        <f t="shared" si="1"/>
        <v>26.173134487698029</v>
      </c>
    </row>
    <row r="75" spans="1:5" x14ac:dyDescent="0.25">
      <c r="A75" s="1">
        <v>42401</v>
      </c>
      <c r="B75">
        <v>7.6779000000000002</v>
      </c>
      <c r="C75" s="2">
        <v>69.75510599275718</v>
      </c>
      <c r="D75" s="3">
        <v>237.33600000000001</v>
      </c>
      <c r="E75">
        <f t="shared" si="1"/>
        <v>26.123422055859358</v>
      </c>
    </row>
    <row r="76" spans="1:5" x14ac:dyDescent="0.25">
      <c r="A76" s="1">
        <v>42430</v>
      </c>
      <c r="B76">
        <v>7.7320700000000002</v>
      </c>
      <c r="C76" s="2">
        <v>69.89682705328697</v>
      </c>
      <c r="D76" s="3">
        <v>238.08</v>
      </c>
      <c r="E76">
        <f t="shared" si="1"/>
        <v>26.336692282134603</v>
      </c>
    </row>
    <row r="77" spans="1:5" x14ac:dyDescent="0.25">
      <c r="A77" s="1">
        <v>42461</v>
      </c>
      <c r="B77">
        <v>7.7460100000000001</v>
      </c>
      <c r="C77" s="2">
        <v>70.015872744131983</v>
      </c>
      <c r="D77" s="3">
        <v>238.99199999999999</v>
      </c>
      <c r="E77">
        <f t="shared" si="1"/>
        <v>26.440210617458188</v>
      </c>
    </row>
    <row r="78" spans="1:5" x14ac:dyDescent="0.25">
      <c r="A78" s="1">
        <v>42491</v>
      </c>
      <c r="B78">
        <v>7.6590800000000003</v>
      </c>
      <c r="C78" s="2">
        <v>70.338996762139871</v>
      </c>
      <c r="D78" s="3">
        <v>239.55699999999999</v>
      </c>
      <c r="E78">
        <f t="shared" si="1"/>
        <v>26.084907548007251</v>
      </c>
    </row>
    <row r="79" spans="1:5" x14ac:dyDescent="0.25">
      <c r="A79" s="1">
        <v>42522</v>
      </c>
      <c r="B79">
        <v>7.6574999999999998</v>
      </c>
      <c r="C79" s="2">
        <v>70.650783095305385</v>
      </c>
      <c r="D79" s="3">
        <v>240.22200000000001</v>
      </c>
      <c r="E79">
        <f t="shared" si="1"/>
        <v>26.03651204429794</v>
      </c>
    </row>
    <row r="80" spans="1:5" x14ac:dyDescent="0.25">
      <c r="A80" s="1">
        <v>42552</v>
      </c>
      <c r="B80">
        <v>7.6110100000000003</v>
      </c>
      <c r="C80" s="2">
        <v>71.138303543527826</v>
      </c>
      <c r="D80" s="3">
        <v>240.101</v>
      </c>
      <c r="E80">
        <f t="shared" si="1"/>
        <v>25.688145780589931</v>
      </c>
    </row>
    <row r="81" spans="1:5" x14ac:dyDescent="0.25">
      <c r="A81" s="1">
        <v>42583</v>
      </c>
      <c r="B81">
        <v>7.5513199999999996</v>
      </c>
      <c r="C81" s="2">
        <v>71.268686919215227</v>
      </c>
      <c r="D81" s="3">
        <v>240.54499999999999</v>
      </c>
      <c r="E81">
        <f t="shared" si="1"/>
        <v>25.487101670035951</v>
      </c>
    </row>
    <row r="82" spans="1:5" x14ac:dyDescent="0.25">
      <c r="A82" s="1">
        <v>42614</v>
      </c>
      <c r="B82">
        <v>7.5377200000000002</v>
      </c>
      <c r="C82" s="2">
        <v>71.121297016264251</v>
      </c>
      <c r="D82" s="3">
        <v>241.17599999999999</v>
      </c>
      <c r="E82">
        <f t="shared" si="1"/>
        <v>25.56079873380645</v>
      </c>
    </row>
    <row r="83" spans="1:5" x14ac:dyDescent="0.25">
      <c r="A83" s="1">
        <v>42644</v>
      </c>
      <c r="B83">
        <v>7.5124899999999997</v>
      </c>
      <c r="C83" s="2">
        <v>71.614486306907892</v>
      </c>
      <c r="D83" s="3">
        <v>241.74100000000001</v>
      </c>
      <c r="E83">
        <f t="shared" si="1"/>
        <v>25.359071030784204</v>
      </c>
    </row>
    <row r="84" spans="1:5" x14ac:dyDescent="0.25">
      <c r="A84" s="1">
        <v>42675</v>
      </c>
      <c r="B84">
        <v>7.5211100000000002</v>
      </c>
      <c r="C84" s="2">
        <v>71.892259585546256</v>
      </c>
      <c r="D84" s="3">
        <v>242.02600000000001</v>
      </c>
      <c r="E84">
        <f t="shared" si="1"/>
        <v>25.319890894429019</v>
      </c>
    </row>
    <row r="85" spans="1:5" x14ac:dyDescent="0.25">
      <c r="A85" s="1">
        <v>42705</v>
      </c>
      <c r="B85">
        <v>7.5190599999999996</v>
      </c>
      <c r="C85" s="2">
        <v>71.897928427967443</v>
      </c>
      <c r="D85" s="3">
        <v>242.637</v>
      </c>
      <c r="E85">
        <f t="shared" si="1"/>
        <v>25.374891893412734</v>
      </c>
    </row>
    <row r="86" spans="1:5" x14ac:dyDescent="0.25">
      <c r="A86" s="1">
        <v>42736</v>
      </c>
      <c r="B86">
        <v>7.5348300000000004</v>
      </c>
      <c r="C86" s="2">
        <v>72.272072027766058</v>
      </c>
      <c r="D86" s="3">
        <v>243.61799999999999</v>
      </c>
      <c r="E86">
        <f t="shared" si="1"/>
        <v>25.398748969515871</v>
      </c>
    </row>
    <row r="87" spans="1:5" x14ac:dyDescent="0.25">
      <c r="A87" s="1">
        <v>42767</v>
      </c>
      <c r="B87">
        <v>7.4185100000000004</v>
      </c>
      <c r="C87" s="2">
        <v>72.515832251877285</v>
      </c>
      <c r="D87" s="3">
        <v>244.006</v>
      </c>
      <c r="E87">
        <f t="shared" si="1"/>
        <v>24.962286094608515</v>
      </c>
    </row>
    <row r="88" spans="1:5" x14ac:dyDescent="0.25">
      <c r="A88" s="1">
        <v>42795</v>
      </c>
      <c r="B88">
        <v>7.3699599999999998</v>
      </c>
      <c r="C88" s="2">
        <v>72.691566366934197</v>
      </c>
      <c r="D88" s="3">
        <v>243.892</v>
      </c>
      <c r="E88">
        <f t="shared" si="1"/>
        <v>24.727411640116088</v>
      </c>
    </row>
    <row r="89" spans="1:5" x14ac:dyDescent="0.25">
      <c r="A89" s="1">
        <v>42826</v>
      </c>
      <c r="B89">
        <v>7.3508100000000001</v>
      </c>
      <c r="C89" s="2">
        <v>72.878638166833511</v>
      </c>
      <c r="D89" s="3">
        <v>244.19300000000001</v>
      </c>
      <c r="E89">
        <f t="shared" si="1"/>
        <v>24.630212521546508</v>
      </c>
    </row>
    <row r="90" spans="1:5" x14ac:dyDescent="0.25">
      <c r="A90" s="1">
        <v>42856</v>
      </c>
      <c r="B90">
        <v>7.3529299999999997</v>
      </c>
      <c r="C90" s="2">
        <v>73.105391863681163</v>
      </c>
      <c r="D90" s="3">
        <v>244.00399999999999</v>
      </c>
      <c r="E90">
        <f t="shared" si="1"/>
        <v>24.541887896114716</v>
      </c>
    </row>
    <row r="91" spans="1:5" x14ac:dyDescent="0.25">
      <c r="A91" s="1">
        <v>42887</v>
      </c>
      <c r="B91">
        <v>7.3547000000000002</v>
      </c>
      <c r="C91" s="2">
        <v>73.734633372433379</v>
      </c>
      <c r="D91" s="3">
        <v>244.16300000000001</v>
      </c>
      <c r="E91">
        <f t="shared" si="1"/>
        <v>24.354167559628259</v>
      </c>
    </row>
    <row r="92" spans="1:5" x14ac:dyDescent="0.25">
      <c r="A92" s="1">
        <v>42917</v>
      </c>
      <c r="B92">
        <v>7.31663</v>
      </c>
      <c r="C92" s="2">
        <v>74.851395329408035</v>
      </c>
      <c r="D92" s="3">
        <v>244.24299999999999</v>
      </c>
      <c r="E92">
        <f t="shared" si="1"/>
        <v>23.874446872039798</v>
      </c>
    </row>
    <row r="93" spans="1:5" x14ac:dyDescent="0.25">
      <c r="A93" s="1">
        <v>42948</v>
      </c>
      <c r="B93">
        <v>7.2909199999999998</v>
      </c>
      <c r="C93" s="2">
        <v>74.630310474981584</v>
      </c>
      <c r="D93" s="3">
        <v>245.18299999999999</v>
      </c>
      <c r="E93">
        <f t="shared" si="1"/>
        <v>23.952863481108828</v>
      </c>
    </row>
    <row r="94" spans="1:5" x14ac:dyDescent="0.25">
      <c r="A94" s="1">
        <v>42979</v>
      </c>
      <c r="B94">
        <v>7.3213200000000001</v>
      </c>
      <c r="C94" s="2">
        <v>74.222153820655819</v>
      </c>
      <c r="D94" s="3">
        <v>246.435</v>
      </c>
      <c r="E94">
        <f t="shared" si="1"/>
        <v>24.308503611463347</v>
      </c>
    </row>
    <row r="95" spans="1:5" x14ac:dyDescent="0.25">
      <c r="A95" s="1">
        <v>43009</v>
      </c>
      <c r="B95">
        <v>7.3572899999999999</v>
      </c>
      <c r="C95" s="2">
        <v>74.624641632560383</v>
      </c>
      <c r="D95" s="3">
        <v>246.626</v>
      </c>
      <c r="E95">
        <f t="shared" si="1"/>
        <v>24.315011286409902</v>
      </c>
    </row>
    <row r="96" spans="1:5" x14ac:dyDescent="0.25">
      <c r="A96" s="1">
        <v>43040</v>
      </c>
      <c r="B96">
        <v>7.3476900000000001</v>
      </c>
      <c r="C96" s="2">
        <v>75.265220826155002</v>
      </c>
      <c r="D96" s="3">
        <v>247.28399999999999</v>
      </c>
      <c r="E96">
        <f t="shared" si="1"/>
        <v>24.140846914629606</v>
      </c>
    </row>
    <row r="97" spans="1:5" x14ac:dyDescent="0.25">
      <c r="A97" s="1">
        <v>43070</v>
      </c>
      <c r="B97">
        <v>7.3563499999999999</v>
      </c>
      <c r="C97" s="2">
        <v>75.97949497122508</v>
      </c>
      <c r="D97" s="3">
        <v>247.80500000000001</v>
      </c>
      <c r="E97">
        <f t="shared" si="1"/>
        <v>23.992529990366258</v>
      </c>
    </row>
    <row r="98" spans="1:5" x14ac:dyDescent="0.25">
      <c r="A98" s="1">
        <v>43101</v>
      </c>
      <c r="B98">
        <v>7.35846</v>
      </c>
      <c r="C98" s="2">
        <v>75.679046322901939</v>
      </c>
      <c r="D98" s="3">
        <v>248.85900000000001</v>
      </c>
      <c r="E98">
        <f t="shared" si="1"/>
        <v>24.197173274709169</v>
      </c>
    </row>
    <row r="99" spans="1:5" x14ac:dyDescent="0.25">
      <c r="A99" s="1">
        <v>43132</v>
      </c>
      <c r="B99">
        <v>7.3769499999999999</v>
      </c>
      <c r="C99" s="2">
        <v>75.525987577529776</v>
      </c>
      <c r="D99" s="3">
        <v>249.529</v>
      </c>
      <c r="E99">
        <f t="shared" si="1"/>
        <v>24.372577116722894</v>
      </c>
    </row>
    <row r="100" spans="1:5" x14ac:dyDescent="0.25">
      <c r="A100" s="1">
        <v>43160</v>
      </c>
      <c r="B100">
        <v>7.4091100000000001</v>
      </c>
      <c r="C100" s="2">
        <v>75.701721692586702</v>
      </c>
      <c r="D100" s="3">
        <v>249.577</v>
      </c>
      <c r="E100">
        <f t="shared" si="1"/>
        <v>24.426702657821881</v>
      </c>
    </row>
    <row r="101" spans="1:5" x14ac:dyDescent="0.25">
      <c r="A101" s="1">
        <v>43191</v>
      </c>
      <c r="B101">
        <v>7.4177400000000002</v>
      </c>
      <c r="C101" s="2">
        <v>75.735734747113852</v>
      </c>
      <c r="D101" s="3">
        <v>250.227</v>
      </c>
      <c r="E101">
        <f t="shared" si="1"/>
        <v>24.507834157517475</v>
      </c>
    </row>
    <row r="102" spans="1:5" x14ac:dyDescent="0.25">
      <c r="A102" s="1">
        <v>43221</v>
      </c>
      <c r="B102">
        <v>7.4584000000000001</v>
      </c>
      <c r="C102" s="2">
        <v>76.092871819648892</v>
      </c>
      <c r="D102" s="3">
        <v>250.792</v>
      </c>
      <c r="E102">
        <f t="shared" si="1"/>
        <v>24.581895886823304</v>
      </c>
    </row>
    <row r="103" spans="1:5" x14ac:dyDescent="0.25">
      <c r="A103" s="1">
        <v>43252</v>
      </c>
      <c r="B103">
        <v>7.49857</v>
      </c>
      <c r="C103" s="2">
        <v>76.52937268608062</v>
      </c>
      <c r="D103" s="3">
        <v>251.018</v>
      </c>
      <c r="E103">
        <f t="shared" si="1"/>
        <v>24.595472015444255</v>
      </c>
    </row>
    <row r="104" spans="1:5" x14ac:dyDescent="0.25">
      <c r="A104" s="1">
        <v>43282</v>
      </c>
      <c r="B104">
        <v>7.49864</v>
      </c>
      <c r="C104" s="2">
        <v>76.801477122297783</v>
      </c>
      <c r="D104" s="3">
        <v>251.214</v>
      </c>
      <c r="E104">
        <f t="shared" si="1"/>
        <v>24.527696856146623</v>
      </c>
    </row>
    <row r="105" spans="1:5" x14ac:dyDescent="0.25">
      <c r="A105" s="1">
        <v>43313</v>
      </c>
      <c r="B105">
        <v>7.5237699999999998</v>
      </c>
      <c r="C105" s="2">
        <v>77.141607667569275</v>
      </c>
      <c r="D105" s="3">
        <v>251.66300000000001</v>
      </c>
      <c r="E105">
        <f t="shared" si="1"/>
        <v>24.545178493940281</v>
      </c>
    </row>
    <row r="106" spans="1:5" x14ac:dyDescent="0.25">
      <c r="A106" s="1">
        <v>43344</v>
      </c>
      <c r="B106">
        <v>7.6814200000000001</v>
      </c>
      <c r="C106" s="2">
        <v>77.600783903685738</v>
      </c>
      <c r="D106" s="3">
        <v>252.18199999999999</v>
      </c>
      <c r="E106">
        <f t="shared" si="1"/>
        <v>24.96258105902967</v>
      </c>
    </row>
    <row r="107" spans="1:5" x14ac:dyDescent="0.25">
      <c r="A107" s="1">
        <v>43374</v>
      </c>
      <c r="B107">
        <v>7.73813</v>
      </c>
      <c r="C107" s="2">
        <v>77.86155065506054</v>
      </c>
      <c r="D107" s="3">
        <v>252.77199999999999</v>
      </c>
      <c r="E107">
        <f t="shared" si="1"/>
        <v>25.121290032166506</v>
      </c>
    </row>
    <row r="108" spans="1:5" x14ac:dyDescent="0.25">
      <c r="A108" s="1">
        <v>43405</v>
      </c>
      <c r="B108">
        <v>7.71488</v>
      </c>
      <c r="C108" s="2">
        <v>77.634796958212888</v>
      </c>
      <c r="D108" s="3">
        <v>252.59399999999999</v>
      </c>
      <c r="E108">
        <f t="shared" si="1"/>
        <v>25.101275137860021</v>
      </c>
    </row>
    <row r="109" spans="1:5" x14ac:dyDescent="0.25">
      <c r="A109" s="1">
        <v>43435</v>
      </c>
      <c r="B109">
        <v>7.7493499999999997</v>
      </c>
      <c r="C109" s="2">
        <v>77.73683612179434</v>
      </c>
      <c r="D109" s="3">
        <v>252.767</v>
      </c>
      <c r="E109">
        <f t="shared" si="1"/>
        <v>25.19757748284324</v>
      </c>
    </row>
    <row r="110" spans="1:5" x14ac:dyDescent="0.25">
      <c r="A110" s="1">
        <v>43466</v>
      </c>
      <c r="B110">
        <v>7.74681</v>
      </c>
      <c r="C110" s="2">
        <v>78.785571969714695</v>
      </c>
      <c r="D110" s="3">
        <v>252.56100000000001</v>
      </c>
      <c r="E110">
        <f t="shared" si="1"/>
        <v>24.833761201379591</v>
      </c>
    </row>
    <row r="111" spans="1:5" x14ac:dyDescent="0.25">
      <c r="A111" s="1">
        <v>43497</v>
      </c>
      <c r="B111">
        <v>7.7481600000000004</v>
      </c>
      <c r="C111" s="2">
        <v>78.89327997571732</v>
      </c>
      <c r="D111" s="3">
        <v>253.31899999999999</v>
      </c>
      <c r="E111">
        <f t="shared" si="1"/>
        <v>24.878622661449995</v>
      </c>
    </row>
    <row r="112" spans="1:5" x14ac:dyDescent="0.25">
      <c r="A112" s="1">
        <v>43525</v>
      </c>
      <c r="B112">
        <v>7.7055800000000003</v>
      </c>
      <c r="C112" s="2">
        <v>78.859266921190198</v>
      </c>
      <c r="D112" s="3">
        <v>254.27699999999999</v>
      </c>
      <c r="E112">
        <f t="shared" si="1"/>
        <v>24.846182854047104</v>
      </c>
    </row>
    <row r="113" spans="1:5" x14ac:dyDescent="0.25">
      <c r="A113" s="1">
        <v>43556</v>
      </c>
      <c r="B113">
        <v>7.6606300000000003</v>
      </c>
      <c r="C113" s="2">
        <v>79.335449684570236</v>
      </c>
      <c r="D113" s="3">
        <v>255.233</v>
      </c>
      <c r="E113">
        <f t="shared" si="1"/>
        <v>24.645295193559246</v>
      </c>
    </row>
    <row r="114" spans="1:5" x14ac:dyDescent="0.25">
      <c r="A114" s="1">
        <v>43586</v>
      </c>
      <c r="B114">
        <v>7.6887999999999996</v>
      </c>
      <c r="C114" s="2">
        <v>79.545196854154312</v>
      </c>
      <c r="D114" s="3">
        <v>255.29599999999999</v>
      </c>
      <c r="E114">
        <f t="shared" si="1"/>
        <v>24.676787064830613</v>
      </c>
    </row>
    <row r="115" spans="1:5" x14ac:dyDescent="0.25">
      <c r="A115" s="1">
        <v>43617</v>
      </c>
      <c r="B115">
        <v>7.7201899999999997</v>
      </c>
      <c r="C115" s="2">
        <v>80.202782575012478</v>
      </c>
      <c r="D115" s="3">
        <v>255.21299999999999</v>
      </c>
      <c r="E115">
        <f t="shared" si="1"/>
        <v>24.566390182625074</v>
      </c>
    </row>
    <row r="116" spans="1:5" x14ac:dyDescent="0.25">
      <c r="A116" s="1">
        <v>43647</v>
      </c>
      <c r="B116">
        <v>7.68912</v>
      </c>
      <c r="C116" s="2">
        <v>80.157431835642967</v>
      </c>
      <c r="D116" s="3">
        <v>255.80199999999999</v>
      </c>
      <c r="E116">
        <f t="shared" si="1"/>
        <v>24.537865413065763</v>
      </c>
    </row>
    <row r="117" spans="1:5" x14ac:dyDescent="0.25">
      <c r="A117" s="1">
        <v>43678</v>
      </c>
      <c r="B117">
        <v>7.6866899999999996</v>
      </c>
      <c r="C117" s="2">
        <v>79.465833060257637</v>
      </c>
      <c r="D117" s="3">
        <v>256.036</v>
      </c>
      <c r="E117">
        <f t="shared" si="1"/>
        <v>24.766233298625906</v>
      </c>
    </row>
    <row r="118" spans="1:5" x14ac:dyDescent="0.25">
      <c r="A118" s="1">
        <v>43709</v>
      </c>
      <c r="B118">
        <v>7.7275499999999999</v>
      </c>
      <c r="C118" s="2">
        <v>79.000987981719973</v>
      </c>
      <c r="D118" s="3">
        <v>256.43</v>
      </c>
      <c r="E118">
        <f t="shared" si="1"/>
        <v>25.082922342167624</v>
      </c>
    </row>
    <row r="119" spans="1:5" x14ac:dyDescent="0.25">
      <c r="A119" s="1">
        <v>43739</v>
      </c>
      <c r="B119">
        <v>7.7713000000000001</v>
      </c>
      <c r="C119" s="2">
        <v>79.550865696575514</v>
      </c>
      <c r="D119" s="3">
        <v>257.15499999999997</v>
      </c>
      <c r="E119">
        <f t="shared" si="1"/>
        <v>25.121394141987668</v>
      </c>
    </row>
    <row r="120" spans="1:5" x14ac:dyDescent="0.25">
      <c r="A120" s="1">
        <v>43770</v>
      </c>
      <c r="B120">
        <v>7.7199900000000001</v>
      </c>
      <c r="C120" s="2">
        <v>79.902333926689352</v>
      </c>
      <c r="D120" s="3">
        <v>257.87900000000002</v>
      </c>
      <c r="E120">
        <f t="shared" si="1"/>
        <v>24.915709008407525</v>
      </c>
    </row>
    <row r="121" spans="1:5" x14ac:dyDescent="0.25">
      <c r="A121" s="1">
        <v>43800</v>
      </c>
      <c r="B121">
        <v>7.7047400000000001</v>
      </c>
      <c r="C121" s="2">
        <v>80.384185532490619</v>
      </c>
      <c r="D121" s="3">
        <v>258.63</v>
      </c>
      <c r="E121">
        <f t="shared" si="1"/>
        <v>24.789414646672967</v>
      </c>
    </row>
    <row r="122" spans="1:5" x14ac:dyDescent="0.25">
      <c r="A122" s="1">
        <v>43831</v>
      </c>
      <c r="B122">
        <v>7.7084900000000003</v>
      </c>
      <c r="C122" s="2">
        <v>80.191444890170118</v>
      </c>
      <c r="D122" s="3">
        <v>259.12700000000001</v>
      </c>
      <c r="E122">
        <f t="shared" si="1"/>
        <v>24.90886516592559</v>
      </c>
    </row>
    <row r="123" spans="1:5" x14ac:dyDescent="0.25">
      <c r="A123" s="1">
        <v>43862</v>
      </c>
      <c r="B123">
        <v>7.6663600000000001</v>
      </c>
      <c r="C123" s="2">
        <v>79.868320872162201</v>
      </c>
      <c r="D123" s="3">
        <v>259.25</v>
      </c>
      <c r="E123">
        <f t="shared" si="1"/>
        <v>24.884757915234161</v>
      </c>
    </row>
    <row r="124" spans="1:5" x14ac:dyDescent="0.25">
      <c r="A124" s="1">
        <v>43891</v>
      </c>
      <c r="B124">
        <v>7.7097600000000002</v>
      </c>
      <c r="C124" s="2">
        <v>80.253802156803204</v>
      </c>
      <c r="D124" s="3">
        <v>258.07600000000002</v>
      </c>
      <c r="E124">
        <f t="shared" si="1"/>
        <v>24.792644937525004</v>
      </c>
    </row>
    <row r="125" spans="1:5" x14ac:dyDescent="0.25">
      <c r="A125" s="1">
        <v>43922</v>
      </c>
      <c r="B125">
        <v>7.72668</v>
      </c>
      <c r="C125" s="2">
        <v>80.826355241343521</v>
      </c>
      <c r="D125" s="3">
        <v>256.03199999999998</v>
      </c>
      <c r="E125">
        <f t="shared" si="1"/>
        <v>24.475646932896591</v>
      </c>
    </row>
    <row r="126" spans="1:5" x14ac:dyDescent="0.25">
      <c r="A126" s="1">
        <v>43952</v>
      </c>
      <c r="B126">
        <v>7.71035</v>
      </c>
      <c r="C126" s="2">
        <v>80.97941398671567</v>
      </c>
      <c r="D126" s="3">
        <v>255.80199999999999</v>
      </c>
      <c r="E126">
        <f t="shared" si="1"/>
        <v>24.355856057732783</v>
      </c>
    </row>
    <row r="127" spans="1:5" x14ac:dyDescent="0.25">
      <c r="A127" s="1">
        <v>43983</v>
      </c>
      <c r="B127">
        <v>7.7145900000000003</v>
      </c>
      <c r="C127" s="2">
        <v>82.118851313375103</v>
      </c>
      <c r="D127" s="3">
        <v>257.04199999999997</v>
      </c>
      <c r="E127">
        <f t="shared" si="1"/>
        <v>24.147605708861434</v>
      </c>
    </row>
    <row r="128" spans="1:5" x14ac:dyDescent="0.25">
      <c r="A128" s="1">
        <v>44013</v>
      </c>
      <c r="B128">
        <v>7.71225</v>
      </c>
      <c r="C128" s="2">
        <v>82.464650701067754</v>
      </c>
      <c r="D128" s="3">
        <v>258.35199999999998</v>
      </c>
      <c r="E128">
        <f t="shared" si="1"/>
        <v>24.161567351114741</v>
      </c>
    </row>
    <row r="129" spans="1:5" x14ac:dyDescent="0.25">
      <c r="A129" s="1">
        <v>44044</v>
      </c>
      <c r="B129">
        <v>7.7207600000000003</v>
      </c>
      <c r="C129" s="2">
        <v>82.793443561496858</v>
      </c>
      <c r="D129" s="3">
        <v>259.31599999999997</v>
      </c>
      <c r="E129">
        <f t="shared" si="1"/>
        <v>24.182067009604193</v>
      </c>
    </row>
    <row r="130" spans="1:5" x14ac:dyDescent="0.25">
      <c r="A130" s="1">
        <v>44075</v>
      </c>
      <c r="B130">
        <v>7.7782299999999998</v>
      </c>
      <c r="C130" s="2">
        <v>82.923826937184245</v>
      </c>
      <c r="D130" s="3">
        <v>259.99700000000001</v>
      </c>
      <c r="E130">
        <f t="shared" si="1"/>
        <v>24.387640320096757</v>
      </c>
    </row>
    <row r="131" spans="1:5" x14ac:dyDescent="0.25">
      <c r="A131" s="1">
        <v>44105</v>
      </c>
      <c r="B131">
        <v>7.7979399999999996</v>
      </c>
      <c r="C131" s="2">
        <v>83.802497512468875</v>
      </c>
      <c r="D131" s="3">
        <v>260.31900000000002</v>
      </c>
      <c r="E131">
        <f t="shared" ref="E131:E194" si="2">B131*D131/C131</f>
        <v>24.223048275595438</v>
      </c>
    </row>
    <row r="132" spans="1:5" x14ac:dyDescent="0.25">
      <c r="A132" s="1">
        <v>44136</v>
      </c>
      <c r="B132">
        <v>7.8068799999999996</v>
      </c>
      <c r="C132" s="2">
        <v>84.267342591006553</v>
      </c>
      <c r="D132" s="3">
        <v>260.911</v>
      </c>
      <c r="E132">
        <f t="shared" si="2"/>
        <v>24.171889192781883</v>
      </c>
    </row>
    <row r="133" spans="1:5" x14ac:dyDescent="0.25">
      <c r="A133" s="1">
        <v>44166</v>
      </c>
      <c r="B133">
        <v>7.8178200000000002</v>
      </c>
      <c r="C133" s="2">
        <v>84.261673748585352</v>
      </c>
      <c r="D133" s="3">
        <v>262.04500000000002</v>
      </c>
      <c r="E133">
        <f t="shared" si="2"/>
        <v>24.312603236585883</v>
      </c>
    </row>
    <row r="134" spans="1:5" x14ac:dyDescent="0.25">
      <c r="A134" s="1">
        <v>44197</v>
      </c>
      <c r="B134">
        <v>7.8074500000000002</v>
      </c>
      <c r="C134" s="2">
        <v>84.392057124272753</v>
      </c>
      <c r="D134" s="3">
        <v>262.68700000000001</v>
      </c>
      <c r="E134">
        <f t="shared" si="2"/>
        <v>24.302235163315128</v>
      </c>
    </row>
    <row r="135" spans="1:5" x14ac:dyDescent="0.25">
      <c r="A135" s="1">
        <v>44228</v>
      </c>
      <c r="B135">
        <v>7.7596400000000001</v>
      </c>
      <c r="C135" s="2">
        <v>84.658492718068743</v>
      </c>
      <c r="D135" s="3">
        <v>263.57900000000001</v>
      </c>
      <c r="E135">
        <f t="shared" si="2"/>
        <v>24.15916095235977</v>
      </c>
    </row>
    <row r="136" spans="1:5" x14ac:dyDescent="0.25">
      <c r="A136" s="1">
        <v>44256</v>
      </c>
      <c r="B136">
        <v>7.7383600000000001</v>
      </c>
      <c r="C136" s="2">
        <v>84.941934839128294</v>
      </c>
      <c r="D136" s="3">
        <v>264.96100000000001</v>
      </c>
      <c r="E136">
        <f t="shared" si="2"/>
        <v>24.138414174850009</v>
      </c>
    </row>
    <row r="137" spans="1:5" x14ac:dyDescent="0.25">
      <c r="A137" s="1">
        <v>44287</v>
      </c>
      <c r="B137">
        <v>7.7334199999999997</v>
      </c>
      <c r="C137" s="2">
        <v>85.032636317867357</v>
      </c>
      <c r="D137" s="3">
        <v>266.61399999999998</v>
      </c>
      <c r="E137">
        <f t="shared" si="2"/>
        <v>24.247608085117772</v>
      </c>
    </row>
    <row r="138" spans="1:5" x14ac:dyDescent="0.25">
      <c r="A138" s="1">
        <v>44317</v>
      </c>
      <c r="B138">
        <v>7.7309200000000002</v>
      </c>
      <c r="C138" s="2">
        <v>85.168688535975946</v>
      </c>
      <c r="D138" s="3">
        <v>268.38299999999998</v>
      </c>
      <c r="E138">
        <f t="shared" si="2"/>
        <v>24.361623244715897</v>
      </c>
    </row>
    <row r="139" spans="1:5" x14ac:dyDescent="0.25">
      <c r="A139" s="1">
        <v>44348</v>
      </c>
      <c r="B139">
        <v>7.75692</v>
      </c>
      <c r="C139" s="2">
        <v>85.327416123769297</v>
      </c>
      <c r="D139" s="3">
        <v>270.654</v>
      </c>
      <c r="E139">
        <f t="shared" si="2"/>
        <v>24.604535342248194</v>
      </c>
    </row>
    <row r="140" spans="1:5" x14ac:dyDescent="0.25">
      <c r="A140" s="1">
        <v>44378</v>
      </c>
      <c r="B140">
        <v>7.7615100000000004</v>
      </c>
      <c r="C140" s="2">
        <v>85.610858244828862</v>
      </c>
      <c r="D140" s="3">
        <v>271.90300000000002</v>
      </c>
      <c r="E140">
        <f t="shared" si="2"/>
        <v>24.650819963686942</v>
      </c>
    </row>
    <row r="141" spans="1:5" x14ac:dyDescent="0.25">
      <c r="A141" s="1">
        <v>44409</v>
      </c>
      <c r="B141">
        <v>7.7525000000000004</v>
      </c>
      <c r="C141" s="2">
        <v>85.786592359885788</v>
      </c>
      <c r="D141" s="3">
        <v>272.67599999999999</v>
      </c>
      <c r="E141">
        <f t="shared" si="2"/>
        <v>24.64162093222949</v>
      </c>
    </row>
    <row r="142" spans="1:5" x14ac:dyDescent="0.25">
      <c r="A142" s="1">
        <v>44440</v>
      </c>
      <c r="B142">
        <v>7.7483500000000003</v>
      </c>
      <c r="C142" s="2">
        <v>85.967995317363901</v>
      </c>
      <c r="D142" s="3">
        <v>273.91000000000003</v>
      </c>
      <c r="E142">
        <f t="shared" si="2"/>
        <v>24.687682208536106</v>
      </c>
    </row>
    <row r="143" spans="1:5" x14ac:dyDescent="0.25">
      <c r="A143" s="1">
        <v>44470</v>
      </c>
      <c r="B143">
        <v>7.7479100000000001</v>
      </c>
      <c r="C143" s="2">
        <v>86.279781650529401</v>
      </c>
      <c r="D143" s="3">
        <v>276.55</v>
      </c>
      <c r="E143">
        <f t="shared" si="2"/>
        <v>24.834143869056174</v>
      </c>
    </row>
    <row r="144" spans="1:5" x14ac:dyDescent="0.25">
      <c r="A144" s="1">
        <v>44501</v>
      </c>
      <c r="B144">
        <v>7.74716</v>
      </c>
      <c r="C144" s="2">
        <v>86.699275989697554</v>
      </c>
      <c r="D144" s="3">
        <v>278.91899999999998</v>
      </c>
      <c r="E144">
        <f t="shared" si="2"/>
        <v>24.923277563433981</v>
      </c>
    </row>
    <row r="145" spans="1:5" x14ac:dyDescent="0.25">
      <c r="A145" s="1">
        <v>44531</v>
      </c>
      <c r="B145">
        <v>7.7405400000000002</v>
      </c>
      <c r="C145" s="2">
        <v>86.846665892648517</v>
      </c>
      <c r="D145" s="3">
        <v>280.84500000000003</v>
      </c>
      <c r="E145">
        <f t="shared" si="2"/>
        <v>25.031380697874532</v>
      </c>
    </row>
    <row r="146" spans="1:5" x14ac:dyDescent="0.25">
      <c r="A146" s="1">
        <v>44562</v>
      </c>
      <c r="B146">
        <v>7.7161299999999997</v>
      </c>
      <c r="C146" s="2">
        <v>86.812652838121366</v>
      </c>
      <c r="D146" s="3">
        <v>282.54300000000001</v>
      </c>
      <c r="E146">
        <f t="shared" si="2"/>
        <v>25.113142466171158</v>
      </c>
    </row>
    <row r="147" spans="1:5" x14ac:dyDescent="0.25">
      <c r="A147" s="1">
        <v>44593</v>
      </c>
      <c r="B147">
        <v>7.7188100000000004</v>
      </c>
      <c r="C147" s="2">
        <v>87.181127595498793</v>
      </c>
      <c r="D147" s="3">
        <v>284.5</v>
      </c>
      <c r="E147">
        <f t="shared" si="2"/>
        <v>25.188954370823957</v>
      </c>
    </row>
    <row r="148" spans="1:5" x14ac:dyDescent="0.25">
      <c r="A148" s="1">
        <v>44621</v>
      </c>
      <c r="B148">
        <v>7.70953</v>
      </c>
      <c r="C148" s="2">
        <v>88.484961352372778</v>
      </c>
      <c r="D148" s="3">
        <v>287.67399999999998</v>
      </c>
      <c r="E148">
        <f t="shared" si="2"/>
        <v>25.064500219285314</v>
      </c>
    </row>
    <row r="149" spans="1:5" x14ac:dyDescent="0.25">
      <c r="A149" s="1">
        <v>44652</v>
      </c>
      <c r="B149">
        <v>7.6767099999999999</v>
      </c>
      <c r="C149" s="2">
        <v>88.96114411575283</v>
      </c>
      <c r="D149" s="3">
        <v>288.56099999999998</v>
      </c>
      <c r="E149">
        <f t="shared" si="2"/>
        <v>24.900748931777088</v>
      </c>
    </row>
    <row r="150" spans="1:5" x14ac:dyDescent="0.25">
      <c r="A150" s="1">
        <v>44682</v>
      </c>
      <c r="B150">
        <v>7.6876800000000003</v>
      </c>
      <c r="C150" s="2">
        <v>90.123256812097011</v>
      </c>
      <c r="D150" s="3">
        <v>291.298</v>
      </c>
      <c r="E150">
        <f t="shared" si="2"/>
        <v>24.848256574982212</v>
      </c>
    </row>
    <row r="151" spans="1:5" x14ac:dyDescent="0.25">
      <c r="A151" s="1">
        <v>44713</v>
      </c>
      <c r="B151">
        <v>7.7571000000000003</v>
      </c>
      <c r="C151" s="2">
        <v>91.772889956663633</v>
      </c>
      <c r="D151" s="3">
        <v>294.95699999999999</v>
      </c>
      <c r="E151">
        <f t="shared" si="2"/>
        <v>24.931229100232422</v>
      </c>
    </row>
    <row r="152" spans="1:5" x14ac:dyDescent="0.25">
      <c r="A152" s="1">
        <v>44743</v>
      </c>
      <c r="B152">
        <v>7.7527100000000004</v>
      </c>
      <c r="C152" s="2">
        <v>92.764937380372089</v>
      </c>
      <c r="D152" s="3">
        <v>294.91300000000001</v>
      </c>
      <c r="E152">
        <f t="shared" si="2"/>
        <v>24.646973617359105</v>
      </c>
    </row>
    <row r="153" spans="1:5" x14ac:dyDescent="0.25">
      <c r="A153" s="1">
        <v>44774</v>
      </c>
      <c r="B153">
        <v>7.7481400000000002</v>
      </c>
      <c r="C153" s="2">
        <v>93.399847731545492</v>
      </c>
      <c r="D153" s="3">
        <v>295.09699999999998</v>
      </c>
      <c r="E153">
        <f t="shared" si="2"/>
        <v>24.480263352803711</v>
      </c>
    </row>
    <row r="154" spans="1:5" x14ac:dyDescent="0.25">
      <c r="A154" s="1">
        <v>44805</v>
      </c>
      <c r="B154">
        <v>7.8393100000000002</v>
      </c>
      <c r="C154" s="2">
        <v>93.734309434395783</v>
      </c>
      <c r="D154" s="3">
        <v>296.34899999999999</v>
      </c>
      <c r="E154">
        <f t="shared" si="2"/>
        <v>24.784646019246317</v>
      </c>
    </row>
    <row r="155" spans="1:5" x14ac:dyDescent="0.25">
      <c r="A155" s="1">
        <v>44835</v>
      </c>
      <c r="B155">
        <v>7.8824699999999996</v>
      </c>
      <c r="C155" s="2">
        <v>94.652661906628751</v>
      </c>
      <c r="D155" s="3">
        <v>298.00700000000001</v>
      </c>
      <c r="E155">
        <f t="shared" si="2"/>
        <v>24.817381677096726</v>
      </c>
    </row>
    <row r="156" spans="1:5" x14ac:dyDescent="0.25">
      <c r="A156" s="1">
        <v>44866</v>
      </c>
      <c r="B156">
        <v>7.8340300000000003</v>
      </c>
      <c r="C156" s="2">
        <v>94.646993064207564</v>
      </c>
      <c r="D156" s="3">
        <v>298.786</v>
      </c>
      <c r="E156">
        <f t="shared" si="2"/>
        <v>24.730827803394597</v>
      </c>
    </row>
    <row r="157" spans="1:5" x14ac:dyDescent="0.25">
      <c r="A157" s="1">
        <v>44896</v>
      </c>
      <c r="B157">
        <v>7.8943099999999999</v>
      </c>
      <c r="C157" s="2">
        <v>94.868077918634015</v>
      </c>
      <c r="D157" s="3">
        <v>298.83199999999999</v>
      </c>
      <c r="E157">
        <f t="shared" si="2"/>
        <v>24.866873005936913</v>
      </c>
    </row>
    <row r="158" spans="1:5" x14ac:dyDescent="0.25">
      <c r="A158" s="1">
        <v>44927</v>
      </c>
      <c r="B158">
        <v>7.8660699999999997</v>
      </c>
      <c r="C158" s="2">
        <v>95.225214991169054</v>
      </c>
      <c r="D158" s="3">
        <v>300.42</v>
      </c>
      <c r="E158">
        <f t="shared" si="2"/>
        <v>24.81616607134098</v>
      </c>
    </row>
    <row r="159" spans="1:5" x14ac:dyDescent="0.25">
      <c r="A159" s="1">
        <v>44958</v>
      </c>
      <c r="B159">
        <v>7.8470199999999997</v>
      </c>
      <c r="C159" s="2">
        <v>95.831781130236521</v>
      </c>
      <c r="D159" s="3">
        <v>301.45</v>
      </c>
      <c r="E159">
        <f t="shared" si="2"/>
        <v>24.683712971850941</v>
      </c>
    </row>
    <row r="160" spans="1:5" x14ac:dyDescent="0.25">
      <c r="A160" s="1">
        <v>44986</v>
      </c>
      <c r="B160">
        <v>7.8225899999999999</v>
      </c>
      <c r="C160" s="2">
        <v>96.194587045192748</v>
      </c>
      <c r="D160" s="3">
        <v>301.82100000000003</v>
      </c>
      <c r="E160">
        <f t="shared" si="2"/>
        <v>24.544228619441746</v>
      </c>
    </row>
    <row r="161" spans="1:5" x14ac:dyDescent="0.25">
      <c r="A161" s="1">
        <v>45017</v>
      </c>
      <c r="B161">
        <v>7.81778</v>
      </c>
      <c r="C161" s="2">
        <v>96.358983475407285</v>
      </c>
      <c r="D161" s="3">
        <v>302.84500000000003</v>
      </c>
      <c r="E161">
        <f t="shared" si="2"/>
        <v>24.570366962248539</v>
      </c>
    </row>
    <row r="162" spans="1:5" x14ac:dyDescent="0.25">
      <c r="A162" s="1">
        <v>45047</v>
      </c>
      <c r="B162">
        <v>7.8281700000000001</v>
      </c>
      <c r="C162" s="2">
        <v>96.013184087714635</v>
      </c>
      <c r="D162" s="3">
        <v>303.334</v>
      </c>
      <c r="E162">
        <f t="shared" si="2"/>
        <v>24.731500588613805</v>
      </c>
    </row>
    <row r="163" spans="1:5" x14ac:dyDescent="0.25">
      <c r="A163" s="1">
        <v>45078</v>
      </c>
      <c r="B163">
        <v>7.8570799999999998</v>
      </c>
      <c r="C163" s="2">
        <v>96.296626208774185</v>
      </c>
      <c r="D163" s="3">
        <v>304.01400000000001</v>
      </c>
      <c r="E163">
        <f t="shared" si="2"/>
        <v>24.80525448463068</v>
      </c>
    </row>
    <row r="164" spans="1:5" x14ac:dyDescent="0.25">
      <c r="A164" s="1">
        <v>45108</v>
      </c>
      <c r="B164">
        <v>7.8683300000000003</v>
      </c>
      <c r="C164" s="2">
        <v>96.971218456895926</v>
      </c>
      <c r="D164" s="3">
        <v>304.60899999999998</v>
      </c>
      <c r="E164">
        <f t="shared" si="2"/>
        <v>24.716242315088273</v>
      </c>
    </row>
    <row r="165" spans="1:5" x14ac:dyDescent="0.25">
      <c r="A165" s="1">
        <v>45139</v>
      </c>
      <c r="B165">
        <v>7.8778100000000002</v>
      </c>
      <c r="C165" s="2">
        <v>97.577784595963379</v>
      </c>
      <c r="D165" s="3">
        <v>306.08199999999999</v>
      </c>
      <c r="E165">
        <f t="shared" si="2"/>
        <v>24.711114834223746</v>
      </c>
    </row>
    <row r="166" spans="1:5" x14ac:dyDescent="0.25">
      <c r="A166" s="1">
        <v>45170</v>
      </c>
      <c r="B166">
        <v>7.8856999999999999</v>
      </c>
      <c r="C166" s="2">
        <v>98.12766231081892</v>
      </c>
      <c r="D166" s="3">
        <v>307.27600000000001</v>
      </c>
      <c r="E166">
        <f t="shared" si="2"/>
        <v>24.69320369137996</v>
      </c>
    </row>
    <row r="167" spans="1:5" x14ac:dyDescent="0.25">
      <c r="A167" s="1">
        <v>45200</v>
      </c>
      <c r="B167">
        <v>7.8581399999999997</v>
      </c>
      <c r="C167" s="2">
        <v>99.36913880105979</v>
      </c>
      <c r="D167" s="3">
        <v>307.69600000000003</v>
      </c>
      <c r="E167">
        <f t="shared" si="2"/>
        <v>24.332687941280746</v>
      </c>
    </row>
    <row r="168" spans="1:5" x14ac:dyDescent="0.25">
      <c r="A168" s="1">
        <v>45231</v>
      </c>
      <c r="B168">
        <v>7.8445799999999997</v>
      </c>
      <c r="C168" s="2">
        <v>98.717221922622798</v>
      </c>
      <c r="D168" s="3">
        <v>308.14800000000002</v>
      </c>
      <c r="E168">
        <f t="shared" si="2"/>
        <v>24.487030639240821</v>
      </c>
    </row>
    <row r="169" spans="1:5" x14ac:dyDescent="0.25">
      <c r="A169" s="1">
        <v>45261</v>
      </c>
      <c r="B169">
        <v>7.84152</v>
      </c>
      <c r="C169" s="2">
        <v>98.830598771046624</v>
      </c>
      <c r="D169" s="3">
        <v>308.74099999999999</v>
      </c>
      <c r="E169">
        <f t="shared" si="2"/>
        <v>24.496449039315696</v>
      </c>
    </row>
    <row r="170" spans="1:5" x14ac:dyDescent="0.25">
      <c r="A170" s="1">
        <v>45292</v>
      </c>
      <c r="B170">
        <v>7.8370600000000001</v>
      </c>
      <c r="C170" s="2">
        <v>98.856695978958101</v>
      </c>
      <c r="D170" s="3">
        <v>309.69799999999998</v>
      </c>
      <c r="E170">
        <f t="shared" si="2"/>
        <v>24.551921180904316</v>
      </c>
    </row>
    <row r="171" spans="1:5" x14ac:dyDescent="0.25">
      <c r="A171" s="1">
        <v>45323</v>
      </c>
      <c r="B171">
        <v>7.8303500000000001</v>
      </c>
      <c r="C171" s="2">
        <v>98.994617044461066</v>
      </c>
      <c r="D171" s="3">
        <v>310.96699999999998</v>
      </c>
      <c r="E171">
        <f t="shared" si="2"/>
        <v>24.597099530738998</v>
      </c>
    </row>
    <row r="172" spans="1:5" x14ac:dyDescent="0.25">
      <c r="A172" s="1">
        <v>45352</v>
      </c>
      <c r="B172">
        <v>7.8216999999999999</v>
      </c>
      <c r="C172" s="2">
        <v>99.300106378486333</v>
      </c>
      <c r="D172" s="3">
        <v>312.34500000000003</v>
      </c>
      <c r="E172">
        <f t="shared" si="2"/>
        <v>24.60288287293616</v>
      </c>
    </row>
    <row r="173" spans="1:5" x14ac:dyDescent="0.25">
      <c r="A173" s="1">
        <v>45383</v>
      </c>
      <c r="B173">
        <v>7.7982100000000001</v>
      </c>
      <c r="C173" s="2">
        <v>99.594133215471629</v>
      </c>
      <c r="D173" s="3">
        <v>313.02300000000002</v>
      </c>
      <c r="E173">
        <f t="shared" si="2"/>
        <v>24.509667487630644</v>
      </c>
    </row>
    <row r="174" spans="1:5" x14ac:dyDescent="0.25">
      <c r="A174" s="1">
        <v>45413</v>
      </c>
      <c r="B174">
        <v>7.7853899999999996</v>
      </c>
      <c r="C174" s="2">
        <v>99.622504993395722</v>
      </c>
      <c r="D174" s="3">
        <v>313.17500000000001</v>
      </c>
      <c r="E174">
        <f t="shared" si="2"/>
        <v>24.474284333762085</v>
      </c>
    </row>
    <row r="175" spans="1:5" x14ac:dyDescent="0.25">
      <c r="A175" s="1">
        <v>45444</v>
      </c>
      <c r="B175">
        <v>7.7834599999999998</v>
      </c>
      <c r="C175" s="2">
        <v>99.781554698869542</v>
      </c>
      <c r="D175" s="3">
        <v>313.04399999999998</v>
      </c>
      <c r="E175">
        <f t="shared" si="2"/>
        <v>24.418996673215844</v>
      </c>
    </row>
    <row r="176" spans="1:5" x14ac:dyDescent="0.25">
      <c r="A176" s="1">
        <v>45474</v>
      </c>
      <c r="B176">
        <v>7.7741600000000002</v>
      </c>
      <c r="C176" s="2">
        <v>100.63825983786846</v>
      </c>
      <c r="D176" s="3">
        <v>313.56900000000002</v>
      </c>
      <c r="E176">
        <f t="shared" si="2"/>
        <v>24.222751674832935</v>
      </c>
    </row>
    <row r="177" spans="1:5" x14ac:dyDescent="0.25">
      <c r="A177" s="1">
        <v>45505</v>
      </c>
      <c r="B177">
        <v>7.7557999999999998</v>
      </c>
      <c r="C177" s="2">
        <v>100.57554338568218</v>
      </c>
      <c r="D177" s="3">
        <v>314.06200000000001</v>
      </c>
      <c r="E177">
        <f t="shared" si="2"/>
        <v>24.218631862214309</v>
      </c>
    </row>
    <row r="178" spans="1:5" x14ac:dyDescent="0.25">
      <c r="A178" s="1">
        <v>45536</v>
      </c>
      <c r="B178">
        <v>7.7501899999999999</v>
      </c>
      <c r="C178" s="2">
        <v>100.19631450645714</v>
      </c>
      <c r="D178" s="3">
        <v>314.73200000000003</v>
      </c>
      <c r="E178">
        <f t="shared" si="2"/>
        <v>24.344536134837618</v>
      </c>
    </row>
    <row r="179" spans="1:5" x14ac:dyDescent="0.25">
      <c r="A179" s="1">
        <v>45566</v>
      </c>
      <c r="B179">
        <v>7.7484700000000002</v>
      </c>
      <c r="C179" s="2">
        <v>100.52599686060988</v>
      </c>
      <c r="D179" s="3">
        <v>315.63099999999997</v>
      </c>
      <c r="E179">
        <f t="shared" si="2"/>
        <v>24.32860564378354</v>
      </c>
    </row>
    <row r="180" spans="1:5" x14ac:dyDescent="0.25">
      <c r="A180" s="1">
        <v>45597</v>
      </c>
      <c r="B180">
        <v>7.7386699999999999</v>
      </c>
      <c r="C180" s="2">
        <v>100.35560184418179</v>
      </c>
      <c r="D180" s="3">
        <v>316.52800000000002</v>
      </c>
      <c r="E180">
        <f t="shared" si="2"/>
        <v>24.408261150814994</v>
      </c>
    </row>
    <row r="181" spans="1:5" x14ac:dyDescent="0.25">
      <c r="A181" s="1">
        <v>45627</v>
      </c>
      <c r="B181">
        <v>7.7233999999999998</v>
      </c>
      <c r="C181" s="2">
        <v>100.51354067381401</v>
      </c>
      <c r="D181" s="3">
        <v>317.60399999999998</v>
      </c>
      <c r="E181">
        <f t="shared" si="2"/>
        <v>24.404500300714766</v>
      </c>
    </row>
    <row r="182" spans="1:5" x14ac:dyDescent="0.25">
      <c r="A182" s="1">
        <v>45658</v>
      </c>
      <c r="B182">
        <v>7.7416799999999997</v>
      </c>
      <c r="C182" s="2">
        <v>101.017579223309</v>
      </c>
      <c r="D182" s="3">
        <v>318.96100000000001</v>
      </c>
      <c r="E182">
        <f t="shared" si="2"/>
        <v>24.444200835791065</v>
      </c>
    </row>
    <row r="183" spans="1:5" x14ac:dyDescent="0.25">
      <c r="A183" s="1">
        <v>45689</v>
      </c>
      <c r="B183">
        <v>7.7320200000000003</v>
      </c>
      <c r="C183" s="2">
        <v>100.77</v>
      </c>
      <c r="D183" s="3">
        <v>319.67899999999997</v>
      </c>
      <c r="E183">
        <f t="shared" si="2"/>
        <v>24.528772666269724</v>
      </c>
    </row>
    <row r="184" spans="1:5" x14ac:dyDescent="0.25">
      <c r="A184" s="1">
        <v>45717</v>
      </c>
      <c r="B184">
        <v>7.7254100000000001</v>
      </c>
      <c r="C184" s="2">
        <v>100.86</v>
      </c>
      <c r="D184" s="3">
        <v>319.78500000000003</v>
      </c>
      <c r="E184">
        <f t="shared" si="2"/>
        <v>24.494053508328378</v>
      </c>
    </row>
    <row r="185" spans="1:5" x14ac:dyDescent="0.25">
      <c r="A185" s="1">
        <v>45748</v>
      </c>
      <c r="B185">
        <v>7.7205199999999996</v>
      </c>
      <c r="C185" s="2">
        <v>101.06</v>
      </c>
      <c r="D185" s="3">
        <v>320.30200000000002</v>
      </c>
      <c r="E185">
        <f t="shared" si="2"/>
        <v>24.469602187215514</v>
      </c>
    </row>
    <row r="186" spans="1:5" x14ac:dyDescent="0.25">
      <c r="A186" s="1">
        <v>45778</v>
      </c>
      <c r="B186">
        <v>7.6929400000000001</v>
      </c>
      <c r="C186" s="2">
        <v>101.31</v>
      </c>
      <c r="D186" s="3">
        <v>320.62</v>
      </c>
      <c r="E186">
        <f t="shared" si="2"/>
        <v>24.346169408745435</v>
      </c>
    </row>
    <row r="187" spans="1:5" x14ac:dyDescent="0.25">
      <c r="A187" s="1">
        <v>45809</v>
      </c>
      <c r="B187">
        <v>7.7022500000000003</v>
      </c>
      <c r="C187" s="2">
        <v>101.56</v>
      </c>
      <c r="D187" s="3">
        <v>321.435</v>
      </c>
      <c r="E187">
        <f t="shared" si="2"/>
        <v>24.377439235427335</v>
      </c>
    </row>
    <row r="188" spans="1:5" x14ac:dyDescent="0.25">
      <c r="A188" s="1">
        <v>45839</v>
      </c>
      <c r="B188">
        <v>7.6916000000000002</v>
      </c>
      <c r="C188" s="2">
        <v>101.81</v>
      </c>
      <c r="D188" s="3">
        <v>322.16899999999998</v>
      </c>
      <c r="E188">
        <f t="shared" si="2"/>
        <v>24.339407527747763</v>
      </c>
    </row>
    <row r="189" spans="1:5" x14ac:dyDescent="0.25">
      <c r="A189" s="1">
        <v>45870</v>
      </c>
      <c r="B189">
        <v>7.67828</v>
      </c>
      <c r="C189" s="2">
        <v>101.75</v>
      </c>
      <c r="D189" s="3">
        <v>323.291</v>
      </c>
      <c r="E189">
        <f t="shared" si="2"/>
        <v>24.396253754103196</v>
      </c>
    </row>
    <row r="190" spans="1:5" x14ac:dyDescent="0.25">
      <c r="A190" s="1">
        <v>45901</v>
      </c>
      <c r="B190">
        <v>7.6752000000000002</v>
      </c>
      <c r="C190" s="2">
        <v>101.67</v>
      </c>
      <c r="D190" s="3">
        <v>324.245</v>
      </c>
      <c r="E190">
        <f t="shared" si="2"/>
        <v>24.477675066391267</v>
      </c>
    </row>
    <row r="191" spans="1:5" x14ac:dyDescent="0.25">
      <c r="A191" s="1">
        <v>45931</v>
      </c>
      <c r="B191">
        <v>7.6756000000000002</v>
      </c>
      <c r="C191" s="2">
        <v>101.79</v>
      </c>
      <c r="D191" s="3">
        <f>(D190+D192)/2</f>
        <v>324.654</v>
      </c>
      <c r="E191">
        <f t="shared" si="2"/>
        <v>24.480933710580608</v>
      </c>
    </row>
    <row r="192" spans="1:5" x14ac:dyDescent="0.25">
      <c r="A192" s="1">
        <v>45962</v>
      </c>
      <c r="B192">
        <v>7.6752000000000002</v>
      </c>
      <c r="C192" s="2">
        <v>102.1</v>
      </c>
      <c r="D192" s="3">
        <v>325.06299999999999</v>
      </c>
      <c r="E192">
        <f t="shared" si="2"/>
        <v>24.436077743388836</v>
      </c>
    </row>
    <row r="193" spans="1:5" x14ac:dyDescent="0.25">
      <c r="A193" s="1">
        <v>45992</v>
      </c>
      <c r="B193">
        <v>7.6762300000000003</v>
      </c>
      <c r="C193" s="2">
        <v>102.17</v>
      </c>
      <c r="D193" s="3">
        <v>326.03100000000001</v>
      </c>
      <c r="E193">
        <f t="shared" si="2"/>
        <v>24.495340541548401</v>
      </c>
    </row>
    <row r="194" spans="1:5" x14ac:dyDescent="0.25">
      <c r="A194" s="1">
        <v>46023</v>
      </c>
      <c r="B194">
        <v>7.6829499999999999</v>
      </c>
      <c r="C194">
        <v>101.99</v>
      </c>
      <c r="D194" s="3">
        <v>326.58800000000002</v>
      </c>
      <c r="E194">
        <f t="shared" si="2"/>
        <v>24.602012693401317</v>
      </c>
    </row>
    <row r="195" spans="1:5" x14ac:dyDescent="0.25">
      <c r="A195" s="1">
        <v>46054</v>
      </c>
      <c r="B195">
        <v>7.6807699999999999</v>
      </c>
      <c r="C195">
        <v>102.33</v>
      </c>
      <c r="D195" s="3">
        <v>327.45999999999998</v>
      </c>
      <c r="E195">
        <f t="shared" ref="E195" si="3">B195*D195/C195</f>
        <v>24.578764235317109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1825993 - LUIS DANIEL MONROY ROJAS</dc:creator>
  <cp:lastModifiedBy>1825993 - LUIS DANIEL MONROY ROJAS</cp:lastModifiedBy>
  <dcterms:created xsi:type="dcterms:W3CDTF">2026-03-25T18:13:35Z</dcterms:created>
  <dcterms:modified xsi:type="dcterms:W3CDTF">2026-03-25T22:11:03Z</dcterms:modified>
</cp:coreProperties>
</file>